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f6bdb6fd02cc28/Documents/GitHub/ChemEProjects/Ethanol_Water_Steady_State_Separation_Recycle_Model/"/>
    </mc:Choice>
  </mc:AlternateContent>
  <xr:revisionPtr revIDLastSave="885" documentId="8_{66A1A9FC-005E-44AA-8839-2039AE58A330}" xr6:coauthVersionLast="47" xr6:coauthVersionMax="47" xr10:uidLastSave="{2DB59D03-1B1B-4193-964C-9E9D151DC0F8}"/>
  <bookViews>
    <workbookView xWindow="-96" yWindow="-96" windowWidth="23232" windowHeight="13872" activeTab="1" xr2:uid="{F31F3049-9973-4664-9FE7-54287E385AA7}"/>
  </bookViews>
  <sheets>
    <sheet name="Single-Pass Recycle Model" sheetId="1" r:id="rId1"/>
    <sheet name="Steady-State Recycle Model" sheetId="2" r:id="rId2"/>
  </sheets>
  <calcPr calcId="191029" iterate="1" iterateCount="1000" iterateDelta="9.9999999999999995E-7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C38" i="2"/>
  <c r="C20" i="2"/>
  <c r="C17" i="2"/>
  <c r="C33" i="1"/>
  <c r="C38" i="1" s="1"/>
  <c r="C43" i="1" s="1"/>
  <c r="C21" i="1"/>
  <c r="C15" i="1"/>
  <c r="C14" i="1"/>
  <c r="C16" i="1" l="1"/>
  <c r="C17" i="1" s="1"/>
  <c r="C20" i="1"/>
  <c r="C22" i="1" l="1"/>
  <c r="C32" i="1"/>
  <c r="C23" i="1" l="1"/>
  <c r="C26" i="1"/>
  <c r="C29" i="1"/>
  <c r="C31" i="1" s="1"/>
  <c r="C30" i="1"/>
  <c r="C37" i="1"/>
  <c r="C34" i="1"/>
  <c r="C39" i="1" l="1"/>
  <c r="C42" i="1"/>
  <c r="C44" i="1" s="1"/>
  <c r="C45" i="1" s="1"/>
  <c r="C13" i="2" l="1"/>
  <c r="C14" i="2"/>
  <c r="C18" i="2"/>
  <c r="C19" i="2"/>
  <c r="C21" i="2"/>
  <c r="C22" i="2"/>
  <c r="C23" i="2"/>
  <c r="C26" i="2"/>
  <c r="C27" i="2"/>
  <c r="C28" i="2"/>
  <c r="C29" i="2"/>
  <c r="C32" i="2"/>
  <c r="C33" i="2"/>
  <c r="C34" i="2"/>
  <c r="C35" i="2"/>
  <c r="C39" i="2"/>
  <c r="C40" i="2"/>
  <c r="C41" i="2"/>
  <c r="C42" i="2"/>
  <c r="C43" i="2"/>
  <c r="C44" i="2"/>
  <c r="B47" i="2"/>
  <c r="B48" i="2"/>
</calcChain>
</file>

<file path=xl/sharedStrings.xml><?xml version="1.0" encoding="utf-8"?>
<sst xmlns="http://schemas.openxmlformats.org/spreadsheetml/2006/main" count="253" uniqueCount="130">
  <si>
    <t>Material Balance Model</t>
  </si>
  <si>
    <t>Ethanol-water seperation</t>
  </si>
  <si>
    <t>Feed → Separator → Ethanol-rich product + Water-rich bottoms</t>
  </si>
  <si>
    <t>Input</t>
  </si>
  <si>
    <t>Symbol</t>
  </si>
  <si>
    <t>Value</t>
  </si>
  <si>
    <t>Unit</t>
  </si>
  <si>
    <t>Purpose</t>
  </si>
  <si>
    <t>Feed flow</t>
  </si>
  <si>
    <t>Ethanol in feed</t>
  </si>
  <si>
    <t>Water in feed</t>
  </si>
  <si>
    <t>kg/hr</t>
  </si>
  <si>
    <t>wt%</t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</si>
  <si>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90% of the ethanol</t>
    </r>
    <r>
      <rPr>
        <sz val="11"/>
        <color theme="1"/>
        <rFont val="Aptos Narrow"/>
        <family val="2"/>
        <scheme val="minor"/>
      </rPr>
      <t xml:space="preserve"> to the top/product stream</t>
    </r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</si>
  <si>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5% of the water</t>
    </r>
    <r>
      <rPr>
        <sz val="11"/>
        <color theme="1"/>
        <rFont val="Aptos Narrow"/>
        <family val="2"/>
        <scheme val="minor"/>
      </rPr>
      <t xml:space="preserve"> to the top/product stream</t>
    </r>
  </si>
  <si>
    <t>100(0.3) = 30</t>
  </si>
  <si>
    <t>100(0.7) = 70</t>
  </si>
  <si>
    <t>Calculations</t>
  </si>
  <si>
    <t>30(0.90) = 27</t>
  </si>
  <si>
    <t>70(0.05) = 3.5</t>
  </si>
  <si>
    <t>27/30.5 = 0.885</t>
  </si>
  <si>
    <t>Ethanol Concentration:</t>
  </si>
  <si>
    <t>27+3.5 = 30.5 kg/hr</t>
  </si>
  <si>
    <t>Ethanol in product</t>
  </si>
  <si>
    <t>Water in product</t>
  </si>
  <si>
    <t>Total production flow</t>
  </si>
  <si>
    <t>Product ethal mass fraction</t>
  </si>
  <si>
    <t>Product stream (ethanol-rich outlet)</t>
  </si>
  <si>
    <t>Bottoms Stream (water-rich outlet)</t>
  </si>
  <si>
    <t>88.5 wt%</t>
  </si>
  <si>
    <t>30-27 = 3 kg/hr</t>
  </si>
  <si>
    <t>Water in bottom</t>
  </si>
  <si>
    <t>Ethanol in bottom</t>
  </si>
  <si>
    <t>70-3.5 = 66.5 kg/hr</t>
  </si>
  <si>
    <t>3+66.5 = 69.5 kg/hr</t>
  </si>
  <si>
    <t>Total bottom flow</t>
  </si>
  <si>
    <t>bottom ethanol mass fraction</t>
  </si>
  <si>
    <t>3/69.5 = 0.0432</t>
  </si>
  <si>
    <t>Mass Balance Check</t>
  </si>
  <si>
    <t>Overall mass balance error</t>
  </si>
  <si>
    <t>100 - (30.5 + 69.5) = 0</t>
  </si>
  <si>
    <t>4.32 wt%</t>
  </si>
  <si>
    <t>Recycle / Purge</t>
  </si>
  <si>
    <t>Recycle flow</t>
  </si>
  <si>
    <t>Purge flow</t>
  </si>
  <si>
    <t>Combined feed</t>
  </si>
  <si>
    <t>69.5(0.2) = 13.9 kg/hr</t>
  </si>
  <si>
    <t>Recycle fraction</t>
  </si>
  <si>
    <t>69.5(0.8) = 55.6 kg/hr</t>
  </si>
  <si>
    <t>100+13.9 = 113.9 kg/hr</t>
  </si>
  <si>
    <t>Reycle water</t>
  </si>
  <si>
    <t>Total recycle</t>
  </si>
  <si>
    <t>Recycle ethanol</t>
  </si>
  <si>
    <t>66.5(0.2) = 13.3 kg/hr</t>
  </si>
  <si>
    <t>13.3+0.6 = 13.9 kg/hr</t>
  </si>
  <si>
    <t>3(0.2) = 0.6 kg/hr</t>
  </si>
  <si>
    <t>Mixer</t>
  </si>
  <si>
    <t>Combined ethonal into separator</t>
  </si>
  <si>
    <t>Combined water into separator</t>
  </si>
  <si>
    <t>30+0.6 = 30.6 kg/hr</t>
  </si>
  <si>
    <t>70+13.3 = 83.3 kg/hr</t>
  </si>
  <si>
    <t>30.6+83.3 = 113.9 kg/hr</t>
  </si>
  <si>
    <t>Recalculate the separator using combined feed</t>
  </si>
  <si>
    <t>total product</t>
  </si>
  <si>
    <t>water product</t>
  </si>
  <si>
    <t>ethanol product</t>
  </si>
  <si>
    <t>product ethanol fraction</t>
  </si>
  <si>
    <t>30.6(0.90) = 27.54</t>
  </si>
  <si>
    <t>83.3(0.05) = 4.165</t>
  </si>
  <si>
    <t>27.54+4.165 = 31.705 kg/hr</t>
  </si>
  <si>
    <t>27.54/31.705 = 0.8686</t>
  </si>
  <si>
    <t>ethonal purity :</t>
  </si>
  <si>
    <t>88.5% -&gt; 86.9%</t>
  </si>
  <si>
    <t>Recycle Fraction Sensitivity Analysis</t>
  </si>
  <si>
    <t>Recycle Fraction</t>
  </si>
  <si>
    <t>Product Ethanol wt%</t>
  </si>
  <si>
    <t>How does increasing recycle affect product purity?</t>
  </si>
  <si>
    <t>Ethanol Recovery Sensitivity</t>
  </si>
  <si>
    <t>Ethanol Recovery</t>
  </si>
  <si>
    <t>How does separator ethanol recovery affect product purity?</t>
  </si>
  <si>
    <t>0.9(30+3(0))/ (0.9(30+3(0))+0.05(70+66.5(0))) = 0.88525</t>
  </si>
  <si>
    <t>0.9(30.6)/ (0.9(30.6)+0.05(83.3)) = 0.8686</t>
  </si>
  <si>
    <t>Steady-state recycle Model</t>
  </si>
  <si>
    <t>Recycle component flow = Recycle fraction * current bottoms component flow</t>
  </si>
  <si>
    <t xml:space="preserve">Fresh feed flow </t>
  </si>
  <si>
    <t>Fresh ethanol</t>
  </si>
  <si>
    <t>Fresh water</t>
  </si>
  <si>
    <t>Recycle Stream</t>
  </si>
  <si>
    <t>Recycle water</t>
  </si>
  <si>
    <t xml:space="preserve">Recycle water </t>
  </si>
  <si>
    <t>Combined separator feed</t>
  </si>
  <si>
    <t>Total ethanol to separator</t>
  </si>
  <si>
    <t>Total water to separator</t>
  </si>
  <si>
    <t>Total separator feed</t>
  </si>
  <si>
    <t>Product stream</t>
  </si>
  <si>
    <t>Total product flow</t>
  </si>
  <si>
    <t>Product ethanol wt%</t>
  </si>
  <si>
    <t>Bottoms stream</t>
  </si>
  <si>
    <t>Ethanol in bottoms</t>
  </si>
  <si>
    <t>Water in bottoms</t>
  </si>
  <si>
    <t>Total bottoms flow</t>
  </si>
  <si>
    <t>Bottoms ethanol wt%</t>
  </si>
  <si>
    <t>Total recycle flow</t>
  </si>
  <si>
    <t>Purge ethanol</t>
  </si>
  <si>
    <t>Purge water</t>
  </si>
  <si>
    <t>Total purge flow</t>
  </si>
  <si>
    <t>Separator balance error</t>
  </si>
  <si>
    <t>Overall process balance error</t>
  </si>
  <si>
    <t>Ethanol recovery to product</t>
  </si>
  <si>
    <t>Water recovery to product</t>
  </si>
  <si>
    <t>Model Assumptions</t>
  </si>
  <si>
    <t>Operation</t>
  </si>
  <si>
    <t>Components</t>
  </si>
  <si>
    <t>Fresh feed</t>
  </si>
  <si>
    <t>Fresh-feed composition</t>
  </si>
  <si>
    <t>Ethanol recovery</t>
  </si>
  <si>
    <t>Recycle fration</t>
  </si>
  <si>
    <t>Chemical reactions</t>
  </si>
  <si>
    <t>Separator behavior</t>
  </si>
  <si>
    <t>Steady state</t>
  </si>
  <si>
    <t xml:space="preserve">Ethanol and water </t>
  </si>
  <si>
    <t>100 kg/hr</t>
  </si>
  <si>
    <t>30 wt% ethanol</t>
  </si>
  <si>
    <t>90% baseline</t>
  </si>
  <si>
    <t>5% baseline</t>
  </si>
  <si>
    <t>20% baseline</t>
  </si>
  <si>
    <t>None</t>
  </si>
  <si>
    <t>Specified using recovery frations</t>
  </si>
  <si>
    <t>Model limitations</t>
  </si>
  <si>
    <t>Fully conceptual material balance model!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</si>
</sst>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0" fontId="0" fillId="0" borderId="0" xfId="0" applyNumberFormat="1"/>
    <xf numFmtId="9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1" applyNumberFormat="1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9" fontId="0" fillId="3" borderId="0" xfId="1" applyFont="1" applyFill="1"/>
    <xf numFmtId="10" fontId="0" fillId="7" borderId="0" xfId="1" applyNumberFormat="1" applyFont="1" applyFill="1"/>
    <xf numFmtId="10" fontId="0" fillId="5" borderId="0" xfId="1" applyNumberFormat="1" applyFont="1" applyFill="1"/>
    <xf numFmtId="10" fontId="0" fillId="15" borderId="0" xfId="1" applyNumberFormat="1" applyFont="1" applyFill="1"/>
    <xf numFmtId="10" fontId="0" fillId="17" borderId="0" xfId="1" applyNumberFormat="1" applyFont="1" applyFill="1"/>
    <xf numFmtId="9" fontId="0" fillId="13" borderId="0" xfId="1" applyFont="1" applyFill="1"/>
    <xf numFmtId="164" fontId="0" fillId="7" borderId="0" xfId="0" applyNumberFormat="1" applyFill="1"/>
    <xf numFmtId="164" fontId="0" fillId="5" borderId="0" xfId="0" applyNumberFormat="1" applyFill="1"/>
    <xf numFmtId="164" fontId="0" fillId="17" borderId="0" xfId="0" applyNumberFormat="1" applyFill="1"/>
    <xf numFmtId="164" fontId="0" fillId="13" borderId="0" xfId="0" applyNumberFormat="1" applyFill="1"/>
    <xf numFmtId="2" fontId="0" fillId="0" borderId="0" xfId="0" applyNumberFormat="1"/>
    <xf numFmtId="2" fontId="0" fillId="6" borderId="0" xfId="0" applyNumberFormat="1" applyFill="1"/>
    <xf numFmtId="2" fontId="0" fillId="4" borderId="0" xfId="0" applyNumberFormat="1" applyFill="1"/>
    <xf numFmtId="2" fontId="0" fillId="16" borderId="0" xfId="0" applyNumberFormat="1" applyFill="1"/>
    <xf numFmtId="2" fontId="0" fillId="14" borderId="0" xfId="0" applyNumberFormat="1" applyFill="1"/>
    <xf numFmtId="2" fontId="0" fillId="15" borderId="0" xfId="0" applyNumberFormat="1" applyFill="1"/>
    <xf numFmtId="2" fontId="0" fillId="12" borderId="0" xfId="0" applyNumberFormat="1" applyFill="1"/>
    <xf numFmtId="165" fontId="0" fillId="11" borderId="0" xfId="0" applyNumberFormat="1" applyFill="1"/>
    <xf numFmtId="1" fontId="0" fillId="3" borderId="0" xfId="0" applyNumberFormat="1" applyFill="1"/>
    <xf numFmtId="1" fontId="0" fillId="5" borderId="0" xfId="0" applyNumberFormat="1" applyFill="1"/>
    <xf numFmtId="166" fontId="0" fillId="15" borderId="0" xfId="2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Recycle Fraction Sensitivity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Model'!$I$4:$I$9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'Single-Pass Recycle Model'!$J$4:$J$9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0.87677839401977331</c:v>
                </c:pt>
                <c:pt idx="2">
                  <c:v>0.86863270777479895</c:v>
                </c:pt>
                <c:pt idx="3">
                  <c:v>0.86079083804070267</c:v>
                </c:pt>
                <c:pt idx="4">
                  <c:v>0.85323609845031911</c:v>
                </c:pt>
                <c:pt idx="5">
                  <c:v>0.84595300261096606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4-41E3-9A5E-3957D809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682544"/>
        <c:axId val="209645616"/>
      </c:scatterChart>
      <c:valAx>
        <c:axId val="2003682544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Recycle Fraction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5616"/>
        <c:crosses val="autoZero"/>
        <c:crossBetween val="midCat"/>
      </c:valAx>
      <c:valAx>
        <c:axId val="2096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8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Ethanol Recovery Sensitivity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Model'!$I$14:$I$19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'Single-Pass Recycle Model'!$J$14:$J$19</c:f>
              <c:numCache>
                <c:formatCode>0.00%</c:formatCode>
                <c:ptCount val="6"/>
                <c:pt idx="0">
                  <c:v>0.84238410596026492</c:v>
                </c:pt>
                <c:pt idx="1">
                  <c:v>0.85012594458438284</c:v>
                </c:pt>
                <c:pt idx="2">
                  <c:v>0.85699570815450643</c:v>
                </c:pt>
                <c:pt idx="3">
                  <c:v>0.86312849162011174</c:v>
                </c:pt>
                <c:pt idx="4">
                  <c:v>0.86863270777479895</c:v>
                </c:pt>
                <c:pt idx="5">
                  <c:v>0.87359635811836112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6-4E35-85A0-B16CC018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024"/>
        <c:axId val="209619216"/>
      </c:scatterChart>
      <c:valAx>
        <c:axId val="17425024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Ethanol Recovery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9216"/>
        <c:crosses val="autoZero"/>
        <c:crossBetween val="midCat"/>
      </c:valAx>
      <c:valAx>
        <c:axId val="2096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Recycle Fraction Sensitivity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Model'!$G$4:$G$9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'Steady-State Recycle Model'!$H$4:$H$9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0.87580645161290327</c:v>
                </c:pt>
                <c:pt idx="2">
                  <c:v>0.86439999999999995</c:v>
                </c:pt>
                <c:pt idx="3">
                  <c:v>0.85044052898231737</c:v>
                </c:pt>
                <c:pt idx="4">
                  <c:v>0.8328358214004451</c:v>
                </c:pt>
                <c:pt idx="5">
                  <c:v>0.81000000086401946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6-4348-8B21-945D8B34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065151"/>
        <c:axId val="2014381935"/>
      </c:scatterChart>
      <c:valAx>
        <c:axId val="1638065151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Recycle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81935"/>
        <c:crosses val="autoZero"/>
        <c:crossBetween val="midCat"/>
      </c:valAx>
      <c:valAx>
        <c:axId val="2014381935"/>
        <c:scaling>
          <c:orientation val="minMax"/>
          <c:min val="0.8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6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 Recovery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Model'!$G$14:$G$19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'Steady-State Recycle Model'!$H$14:$H$19</c:f>
              <c:numCache>
                <c:formatCode>0.00%</c:formatCode>
                <c:ptCount val="6"/>
                <c:pt idx="0">
                  <c:v>0.83793103422414572</c:v>
                </c:pt>
                <c:pt idx="1">
                  <c:v>0.84570765663421887</c:v>
                </c:pt>
                <c:pt idx="2">
                  <c:v>0.85263157908280696</c:v>
                </c:pt>
                <c:pt idx="3">
                  <c:v>0.85883575886644692</c:v>
                </c:pt>
                <c:pt idx="4">
                  <c:v>0.86439999999999995</c:v>
                </c:pt>
                <c:pt idx="5">
                  <c:v>0.86949152544712582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0EE-9A8A-1F200856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416335"/>
        <c:axId val="343692431"/>
      </c:scatterChart>
      <c:valAx>
        <c:axId val="2028416335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Ethanol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92431"/>
        <c:crosses val="autoZero"/>
        <c:crossBetween val="midCat"/>
      </c:valAx>
      <c:valAx>
        <c:axId val="343692431"/>
        <c:scaling>
          <c:orientation val="minMax"/>
          <c:max val="0.87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</a:t>
                </a:r>
                <a:r>
                  <a:rPr lang="en-US" baseline="0"/>
                  <a:t>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1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43794</xdr:rowOff>
    </xdr:from>
    <xdr:to>
      <xdr:col>4</xdr:col>
      <xdr:colOff>19183</xdr:colOff>
      <xdr:row>66</xdr:row>
      <xdr:rowOff>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367F6-EBFE-14AB-103F-653A01CC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5346"/>
          <a:ext cx="5609942" cy="3679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708422</xdr:colOff>
      <xdr:row>20</xdr:row>
      <xdr:rowOff>3571</xdr:rowOff>
    </xdr:from>
    <xdr:to>
      <xdr:col>9</xdr:col>
      <xdr:colOff>1232297</xdr:colOff>
      <xdr:row>34</xdr:row>
      <xdr:rowOff>79771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F76C8-FDE6-92A3-9D81-361C29E72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5953</xdr:colOff>
      <xdr:row>20</xdr:row>
      <xdr:rowOff>27383</xdr:rowOff>
    </xdr:from>
    <xdr:to>
      <xdr:col>12</xdr:col>
      <xdr:colOff>529828</xdr:colOff>
      <xdr:row>34</xdr:row>
      <xdr:rowOff>103583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FA59CE-77D3-18D3-3314-EC5229556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53578</xdr:colOff>
      <xdr:row>20</xdr:row>
      <xdr:rowOff>75008</xdr:rowOff>
    </xdr:from>
    <xdr:to>
      <xdr:col>7</xdr:col>
      <xdr:colOff>930830</xdr:colOff>
      <xdr:row>35</xdr:row>
      <xdr:rowOff>139302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9390-8241-6167-55C3-7559288B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1198629</xdr:colOff>
      <xdr:row>77</xdr:row>
      <xdr:rowOff>141187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36D10D-BDFC-1F9D-9703-0927292E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29688"/>
          <a:ext cx="6163535" cy="4963218"/>
        </a:xfrm>
        <a:prstGeom prst="rect">
          <a:avLst/>
        </a:prstGeom>
      </xdr:spPr>
    </xdr:pic>
    <xdr:clientData/>
  </xdr:twoCellAnchor>
  <xdr:oneCellAnchor>
    <xdr:from>
      <xdr:col>5</xdr:col>
      <xdr:colOff>390525</xdr:colOff>
      <xdr:row>37</xdr:row>
      <xdr:rowOff>76200</xdr:rowOff>
    </xdr:from>
    <xdr:ext cx="4224338" cy="9534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914C-E7A2-D6FC-0A66-07BB9E213DB4}"/>
            </a:ext>
          </a:extLst>
        </xdr:cNvPr>
        <xdr:cNvSpPr txBox="1"/>
      </xdr:nvSpPr>
      <xdr:spPr>
        <a:xfrm>
          <a:off x="8724900" y="6772275"/>
          <a:ext cx="4224338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 the recycling fraction increases the product ethanol concentration decreases. This is due to the Bottoms stream being primarily water, so increasing recycling fractor returns a great amount of water to the separator. This will decrease the ethanol purity in the final product stream as so much water is recycled with ethanol.</a:t>
          </a:r>
        </a:p>
      </xdr:txBody>
    </xdr:sp>
    <xdr:clientData/>
  </xdr:oneCellAnchor>
  <xdr:oneCellAnchor>
    <xdr:from>
      <xdr:col>8</xdr:col>
      <xdr:colOff>938213</xdr:colOff>
      <xdr:row>30</xdr:row>
      <xdr:rowOff>71438</xdr:rowOff>
    </xdr:from>
    <xdr:ext cx="4843463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ABEA3-9F63-F8FE-A2B5-D211E599F4FC}"/>
            </a:ext>
          </a:extLst>
        </xdr:cNvPr>
        <xdr:cNvSpPr txBox="1"/>
      </xdr:nvSpPr>
      <xdr:spPr>
        <a:xfrm>
          <a:off x="14254163" y="5500688"/>
          <a:ext cx="48434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</a:t>
          </a:r>
          <a:r>
            <a:rPr lang="en-US" sz="1100" baseline="0"/>
            <a:t> ethanol recovery increases so does the product ethanol concentration increase. The separator reciving a greater fraction of ethanol delivers more ethanol into product stream.</a:t>
          </a:r>
        </a:p>
      </xdr:txBody>
    </xdr:sp>
    <xdr:clientData/>
  </xdr:oneCellAnchor>
  <xdr:twoCellAnchor>
    <xdr:from>
      <xdr:col>8</xdr:col>
      <xdr:colOff>204788</xdr:colOff>
      <xdr:row>10</xdr:row>
      <xdr:rowOff>150018</xdr:rowOff>
    </xdr:from>
    <xdr:to>
      <xdr:col>9</xdr:col>
      <xdr:colOff>1343025</xdr:colOff>
      <xdr:row>25</xdr:row>
      <xdr:rowOff>178593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AC5AAE-9E80-C3CA-3B9B-4DEE61315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728663</xdr:colOff>
      <xdr:row>37</xdr:row>
      <xdr:rowOff>42863</xdr:rowOff>
    </xdr:from>
    <xdr:ext cx="3419475" cy="609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0CF512-6F10-8F62-D0F8-FAC5F986374B}"/>
            </a:ext>
          </a:extLst>
        </xdr:cNvPr>
        <xdr:cNvSpPr txBox="1"/>
      </xdr:nvSpPr>
      <xdr:spPr>
        <a:xfrm>
          <a:off x="14044613" y="6738938"/>
          <a:ext cx="341947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Both the separator and overall process mass</a:t>
          </a:r>
          <a:r>
            <a:rPr lang="en-US" sz="1100" baseline="0"/>
            <a:t> balances are approximately 0 kg/hr. This validates conservation of mass in the steady-state model.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580-83CA-4EB0-BA5B-9BAF6713670A}">
  <dimension ref="A1:K46"/>
  <sheetViews>
    <sheetView topLeftCell="A20" zoomScale="80" zoomScaleNormal="80" workbookViewId="0">
      <selection activeCell="I50" sqref="I50"/>
    </sheetView>
  </sheetViews>
  <sheetFormatPr defaultRowHeight="14.4" x14ac:dyDescent="0.55000000000000004"/>
  <cols>
    <col min="1" max="1" width="56.26171875" bestFit="1" customWidth="1"/>
    <col min="6" max="6" width="20.83984375" bestFit="1" customWidth="1"/>
    <col min="7" max="7" width="25.68359375" bestFit="1" customWidth="1"/>
    <col min="8" max="8" width="14.68359375" customWidth="1"/>
    <col min="9" max="9" width="46" bestFit="1" customWidth="1"/>
    <col min="10" max="10" width="19.41796875" bestFit="1" customWidth="1"/>
    <col min="11" max="11" width="51.578125" bestFit="1" customWidth="1"/>
  </cols>
  <sheetData>
    <row r="1" spans="1:11" x14ac:dyDescent="0.55000000000000004">
      <c r="A1" s="2" t="s">
        <v>0</v>
      </c>
      <c r="F1" s="2"/>
      <c r="G1" s="2" t="s">
        <v>17</v>
      </c>
      <c r="I1" s="1" t="s">
        <v>73</v>
      </c>
      <c r="K1" s="2" t="s">
        <v>17</v>
      </c>
    </row>
    <row r="2" spans="1:11" x14ac:dyDescent="0.55000000000000004">
      <c r="A2" s="3" t="s">
        <v>1</v>
      </c>
      <c r="I2" s="18" t="s">
        <v>76</v>
      </c>
    </row>
    <row r="3" spans="1:11" x14ac:dyDescent="0.55000000000000004">
      <c r="A3" t="s">
        <v>2</v>
      </c>
      <c r="I3" t="s">
        <v>74</v>
      </c>
      <c r="J3" t="s">
        <v>75</v>
      </c>
    </row>
    <row r="4" spans="1:11" x14ac:dyDescent="0.55000000000000004">
      <c r="I4" s="17">
        <v>0</v>
      </c>
      <c r="J4" s="16">
        <v>0.88524590163934425</v>
      </c>
      <c r="K4" t="s">
        <v>80</v>
      </c>
    </row>
    <row r="5" spans="1:11" x14ac:dyDescent="0.5500000000000000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I5" s="17">
        <v>0.1</v>
      </c>
      <c r="J5" s="20">
        <v>0.87677839401977331</v>
      </c>
    </row>
    <row r="6" spans="1:11" x14ac:dyDescent="0.55000000000000004">
      <c r="A6" s="5" t="s">
        <v>8</v>
      </c>
      <c r="B6" s="5"/>
      <c r="C6" s="5">
        <v>100</v>
      </c>
      <c r="D6" s="5" t="s">
        <v>11</v>
      </c>
      <c r="E6" s="5"/>
      <c r="I6" s="17">
        <v>0.2</v>
      </c>
      <c r="J6" s="20">
        <v>0.86863270777479895</v>
      </c>
    </row>
    <row r="7" spans="1:11" x14ac:dyDescent="0.55000000000000004">
      <c r="A7" s="5" t="s">
        <v>9</v>
      </c>
      <c r="B7" s="5"/>
      <c r="C7" s="5">
        <v>30</v>
      </c>
      <c r="D7" s="5" t="s">
        <v>12</v>
      </c>
      <c r="E7" s="5"/>
      <c r="G7" t="s">
        <v>15</v>
      </c>
      <c r="I7" s="17">
        <v>0.3</v>
      </c>
      <c r="J7" s="20">
        <v>0.86079083804070267</v>
      </c>
    </row>
    <row r="8" spans="1:11" x14ac:dyDescent="0.55000000000000004">
      <c r="A8" s="5" t="s">
        <v>10</v>
      </c>
      <c r="B8" s="5"/>
      <c r="C8" s="5">
        <v>70</v>
      </c>
      <c r="D8" s="5" t="s">
        <v>12</v>
      </c>
      <c r="E8" s="5"/>
      <c r="G8" t="s">
        <v>16</v>
      </c>
      <c r="I8" s="17">
        <v>0.4</v>
      </c>
      <c r="J8" s="20">
        <v>0.85323609845031911</v>
      </c>
    </row>
    <row r="9" spans="1:11" x14ac:dyDescent="0.55000000000000004">
      <c r="A9" s="5" t="s">
        <v>13</v>
      </c>
      <c r="B9" s="5"/>
      <c r="C9" s="25">
        <v>0.9</v>
      </c>
      <c r="D9" s="5"/>
      <c r="E9" s="5"/>
      <c r="I9" s="17">
        <v>0.5</v>
      </c>
      <c r="J9" s="20">
        <v>0.84595300261096606</v>
      </c>
    </row>
    <row r="10" spans="1:11" x14ac:dyDescent="0.55000000000000004">
      <c r="A10" s="5" t="s">
        <v>14</v>
      </c>
      <c r="B10" s="5"/>
      <c r="C10" s="25">
        <v>0.05</v>
      </c>
      <c r="D10" s="5"/>
      <c r="E10" s="5"/>
    </row>
    <row r="11" spans="1:11" x14ac:dyDescent="0.55000000000000004">
      <c r="A11" s="5" t="s">
        <v>47</v>
      </c>
      <c r="B11" s="5"/>
      <c r="C11" s="25">
        <v>0.2</v>
      </c>
      <c r="D11" s="5"/>
      <c r="E11" s="5"/>
      <c r="I11" s="19" t="s">
        <v>77</v>
      </c>
    </row>
    <row r="12" spans="1:11" x14ac:dyDescent="0.55000000000000004">
      <c r="I12" s="18" t="s">
        <v>79</v>
      </c>
    </row>
    <row r="13" spans="1:11" x14ac:dyDescent="0.55000000000000004">
      <c r="A13" s="6" t="s">
        <v>27</v>
      </c>
      <c r="B13" s="6" t="s">
        <v>4</v>
      </c>
      <c r="C13" s="6" t="s">
        <v>5</v>
      </c>
      <c r="D13" s="6" t="s">
        <v>6</v>
      </c>
      <c r="E13" s="6" t="s">
        <v>7</v>
      </c>
      <c r="G13" t="s">
        <v>18</v>
      </c>
      <c r="I13" t="s">
        <v>78</v>
      </c>
      <c r="J13" t="s">
        <v>75</v>
      </c>
    </row>
    <row r="14" spans="1:11" x14ac:dyDescent="0.55000000000000004">
      <c r="A14" s="7" t="s">
        <v>23</v>
      </c>
      <c r="B14" s="7"/>
      <c r="C14" s="7">
        <f>C7*C9</f>
        <v>27</v>
      </c>
      <c r="D14" s="7" t="s">
        <v>11</v>
      </c>
      <c r="E14" s="7"/>
      <c r="G14" t="s">
        <v>19</v>
      </c>
      <c r="I14" s="17">
        <v>0.7</v>
      </c>
      <c r="J14" s="20">
        <v>0.84238410596026492</v>
      </c>
    </row>
    <row r="15" spans="1:11" x14ac:dyDescent="0.55000000000000004">
      <c r="A15" s="7" t="s">
        <v>24</v>
      </c>
      <c r="B15" s="7"/>
      <c r="C15" s="7">
        <f>C8*C10</f>
        <v>3.5</v>
      </c>
      <c r="D15" s="7" t="s">
        <v>11</v>
      </c>
      <c r="E15" s="7"/>
      <c r="G15" t="s">
        <v>22</v>
      </c>
      <c r="I15" s="17">
        <v>0.75</v>
      </c>
      <c r="J15" s="20">
        <v>0.85012594458438284</v>
      </c>
    </row>
    <row r="16" spans="1:11" x14ac:dyDescent="0.55000000000000004">
      <c r="A16" s="7" t="s">
        <v>25</v>
      </c>
      <c r="B16" s="7"/>
      <c r="C16" s="7">
        <f>C14+C15</f>
        <v>30.5</v>
      </c>
      <c r="D16" s="7" t="s">
        <v>11</v>
      </c>
      <c r="E16" s="7"/>
      <c r="G16" t="s">
        <v>20</v>
      </c>
      <c r="I16" s="17">
        <v>0.8</v>
      </c>
      <c r="J16" s="20">
        <v>0.85699570815450643</v>
      </c>
    </row>
    <row r="17" spans="1:11" x14ac:dyDescent="0.55000000000000004">
      <c r="A17" s="7" t="s">
        <v>26</v>
      </c>
      <c r="B17" s="7"/>
      <c r="C17" s="27">
        <f>C14/C16</f>
        <v>0.88524590163934425</v>
      </c>
      <c r="D17" s="7"/>
      <c r="E17" s="7"/>
      <c r="F17" t="s">
        <v>21</v>
      </c>
      <c r="G17" t="s">
        <v>29</v>
      </c>
      <c r="I17" s="17">
        <v>0.85</v>
      </c>
      <c r="J17" s="20">
        <v>0.86312849162011174</v>
      </c>
    </row>
    <row r="18" spans="1:11" x14ac:dyDescent="0.55000000000000004">
      <c r="I18" s="17">
        <v>0.9</v>
      </c>
      <c r="J18" s="20">
        <v>0.86863270777479895</v>
      </c>
      <c r="K18" t="s">
        <v>81</v>
      </c>
    </row>
    <row r="19" spans="1:11" x14ac:dyDescent="0.55000000000000004">
      <c r="A19" s="21" t="s">
        <v>28</v>
      </c>
      <c r="B19" s="21" t="s">
        <v>4</v>
      </c>
      <c r="C19" s="21" t="s">
        <v>5</v>
      </c>
      <c r="D19" s="21" t="s">
        <v>6</v>
      </c>
      <c r="E19" s="21" t="s">
        <v>7</v>
      </c>
      <c r="G19" t="s">
        <v>30</v>
      </c>
      <c r="I19" s="17">
        <v>0.95</v>
      </c>
      <c r="J19" s="20">
        <v>0.87359635811836112</v>
      </c>
    </row>
    <row r="20" spans="1:11" x14ac:dyDescent="0.55000000000000004">
      <c r="A20" s="9" t="s">
        <v>32</v>
      </c>
      <c r="B20" s="9"/>
      <c r="C20" s="9">
        <f>C7-C14</f>
        <v>3</v>
      </c>
      <c r="D20" s="9" t="s">
        <v>11</v>
      </c>
      <c r="E20" s="9"/>
      <c r="G20" t="s">
        <v>33</v>
      </c>
    </row>
    <row r="21" spans="1:11" x14ac:dyDescent="0.55000000000000004">
      <c r="A21" s="9" t="s">
        <v>31</v>
      </c>
      <c r="B21" s="9"/>
      <c r="C21" s="9">
        <f>C8-C15</f>
        <v>66.5</v>
      </c>
      <c r="D21" s="9" t="s">
        <v>11</v>
      </c>
      <c r="E21" s="9"/>
      <c r="G21" t="s">
        <v>34</v>
      </c>
    </row>
    <row r="22" spans="1:11" x14ac:dyDescent="0.55000000000000004">
      <c r="A22" s="9" t="s">
        <v>35</v>
      </c>
      <c r="B22" s="9"/>
      <c r="C22" s="9">
        <f>C21+C20</f>
        <v>69.5</v>
      </c>
      <c r="D22" s="9" t="s">
        <v>11</v>
      </c>
      <c r="E22" s="9"/>
      <c r="G22" t="s">
        <v>37</v>
      </c>
    </row>
    <row r="23" spans="1:11" x14ac:dyDescent="0.55000000000000004">
      <c r="A23" s="9" t="s">
        <v>36</v>
      </c>
      <c r="B23" s="9"/>
      <c r="C23" s="26">
        <f>C20/C22</f>
        <v>4.3165467625899283E-2</v>
      </c>
      <c r="D23" s="9"/>
      <c r="E23" s="9"/>
      <c r="F23" t="s">
        <v>21</v>
      </c>
      <c r="G23" t="s">
        <v>41</v>
      </c>
    </row>
    <row r="25" spans="1:11" x14ac:dyDescent="0.55000000000000004">
      <c r="A25" s="10" t="s">
        <v>38</v>
      </c>
      <c r="B25" s="10" t="s">
        <v>4</v>
      </c>
      <c r="C25" s="10" t="s">
        <v>5</v>
      </c>
      <c r="D25" s="10" t="s">
        <v>6</v>
      </c>
      <c r="E25" s="10" t="s">
        <v>7</v>
      </c>
    </row>
    <row r="26" spans="1:11" x14ac:dyDescent="0.55000000000000004">
      <c r="A26" s="11" t="s">
        <v>39</v>
      </c>
      <c r="B26" s="11"/>
      <c r="C26" s="11">
        <f>C6-(C16+C22)</f>
        <v>0</v>
      </c>
      <c r="D26" s="11" t="s">
        <v>11</v>
      </c>
      <c r="E26" s="11"/>
      <c r="G26" t="s">
        <v>40</v>
      </c>
    </row>
    <row r="28" spans="1:11" x14ac:dyDescent="0.55000000000000004">
      <c r="A28" s="12" t="s">
        <v>42</v>
      </c>
      <c r="B28" s="12" t="s">
        <v>4</v>
      </c>
      <c r="C28" s="12" t="s">
        <v>5</v>
      </c>
      <c r="D28" s="12" t="s">
        <v>6</v>
      </c>
      <c r="E28" s="12" t="s">
        <v>7</v>
      </c>
    </row>
    <row r="29" spans="1:11" x14ac:dyDescent="0.55000000000000004">
      <c r="A29" s="13" t="s">
        <v>43</v>
      </c>
      <c r="B29" s="13"/>
      <c r="C29" s="42">
        <f>C22*C11</f>
        <v>13.9</v>
      </c>
      <c r="D29" s="13" t="s">
        <v>11</v>
      </c>
      <c r="E29" s="13"/>
      <c r="G29" t="s">
        <v>46</v>
      </c>
    </row>
    <row r="30" spans="1:11" x14ac:dyDescent="0.55000000000000004">
      <c r="A30" s="13" t="s">
        <v>44</v>
      </c>
      <c r="B30" s="13"/>
      <c r="C30" s="42">
        <f>C22*(1-C11)</f>
        <v>55.6</v>
      </c>
      <c r="D30" s="13" t="s">
        <v>11</v>
      </c>
      <c r="E30" s="13"/>
      <c r="G30" t="s">
        <v>48</v>
      </c>
    </row>
    <row r="31" spans="1:11" x14ac:dyDescent="0.55000000000000004">
      <c r="A31" s="13" t="s">
        <v>45</v>
      </c>
      <c r="B31" s="13"/>
      <c r="C31" s="42">
        <f>100+C29</f>
        <v>113.9</v>
      </c>
      <c r="D31" s="13" t="s">
        <v>11</v>
      </c>
      <c r="E31" s="13"/>
      <c r="G31" t="s">
        <v>49</v>
      </c>
    </row>
    <row r="32" spans="1:11" x14ac:dyDescent="0.55000000000000004">
      <c r="A32" s="13" t="s">
        <v>52</v>
      </c>
      <c r="B32" s="13"/>
      <c r="C32" s="42">
        <f>C20*C11</f>
        <v>0.60000000000000009</v>
      </c>
      <c r="D32" s="13" t="s">
        <v>11</v>
      </c>
      <c r="E32" s="13"/>
      <c r="G32" t="s">
        <v>55</v>
      </c>
    </row>
    <row r="33" spans="1:7" x14ac:dyDescent="0.55000000000000004">
      <c r="A33" s="13" t="s">
        <v>50</v>
      </c>
      <c r="B33" s="13"/>
      <c r="C33" s="42">
        <f>C21*C11</f>
        <v>13.3</v>
      </c>
      <c r="D33" s="13" t="s">
        <v>11</v>
      </c>
      <c r="E33" s="13"/>
      <c r="G33" t="s">
        <v>53</v>
      </c>
    </row>
    <row r="34" spans="1:7" x14ac:dyDescent="0.55000000000000004">
      <c r="A34" s="13" t="s">
        <v>51</v>
      </c>
      <c r="B34" s="13"/>
      <c r="C34" s="42">
        <f>C32+C33</f>
        <v>13.9</v>
      </c>
      <c r="D34" s="13" t="s">
        <v>11</v>
      </c>
      <c r="E34" s="13"/>
      <c r="G34" t="s">
        <v>54</v>
      </c>
    </row>
    <row r="36" spans="1:7" x14ac:dyDescent="0.55000000000000004">
      <c r="A36" s="14" t="s">
        <v>56</v>
      </c>
      <c r="B36" s="14" t="s">
        <v>4</v>
      </c>
      <c r="C36" s="14" t="s">
        <v>5</v>
      </c>
      <c r="D36" s="14" t="s">
        <v>6</v>
      </c>
      <c r="E36" s="14" t="s">
        <v>7</v>
      </c>
    </row>
    <row r="37" spans="1:7" x14ac:dyDescent="0.55000000000000004">
      <c r="A37" s="15" t="s">
        <v>57</v>
      </c>
      <c r="B37" s="15"/>
      <c r="C37" s="15">
        <f>C7+C32</f>
        <v>30.6</v>
      </c>
      <c r="D37" s="15" t="s">
        <v>11</v>
      </c>
      <c r="E37" s="15"/>
      <c r="G37" t="s">
        <v>59</v>
      </c>
    </row>
    <row r="38" spans="1:7" x14ac:dyDescent="0.55000000000000004">
      <c r="A38" s="15" t="s">
        <v>58</v>
      </c>
      <c r="B38" s="15"/>
      <c r="C38" s="15">
        <f>C8+C33</f>
        <v>83.3</v>
      </c>
      <c r="D38" s="15" t="s">
        <v>11</v>
      </c>
      <c r="E38" s="15"/>
      <c r="G38" t="s">
        <v>60</v>
      </c>
    </row>
    <row r="39" spans="1:7" x14ac:dyDescent="0.55000000000000004">
      <c r="A39" s="15" t="s">
        <v>45</v>
      </c>
      <c r="B39" s="15"/>
      <c r="C39" s="15">
        <f>C37+C38</f>
        <v>113.9</v>
      </c>
      <c r="D39" s="15" t="s">
        <v>11</v>
      </c>
      <c r="E39" s="15"/>
      <c r="G39" t="s">
        <v>61</v>
      </c>
    </row>
    <row r="41" spans="1:7" x14ac:dyDescent="0.55000000000000004">
      <c r="A41" s="8" t="s">
        <v>62</v>
      </c>
      <c r="B41" s="8" t="s">
        <v>4</v>
      </c>
      <c r="C41" s="8" t="s">
        <v>5</v>
      </c>
      <c r="D41" s="8" t="s">
        <v>6</v>
      </c>
      <c r="E41" s="8" t="s">
        <v>7</v>
      </c>
    </row>
    <row r="42" spans="1:7" x14ac:dyDescent="0.55000000000000004">
      <c r="A42" s="22" t="s">
        <v>65</v>
      </c>
      <c r="B42" s="22"/>
      <c r="C42" s="22">
        <f>C37*C9</f>
        <v>27.540000000000003</v>
      </c>
      <c r="D42" s="22" t="s">
        <v>11</v>
      </c>
      <c r="E42" s="22"/>
      <c r="G42" t="s">
        <v>67</v>
      </c>
    </row>
    <row r="43" spans="1:7" x14ac:dyDescent="0.55000000000000004">
      <c r="A43" s="22" t="s">
        <v>64</v>
      </c>
      <c r="B43" s="22"/>
      <c r="C43" s="40">
        <f>C38*C10</f>
        <v>4.165</v>
      </c>
      <c r="D43" s="22" t="s">
        <v>11</v>
      </c>
      <c r="E43" s="22"/>
      <c r="G43" t="s">
        <v>68</v>
      </c>
    </row>
    <row r="44" spans="1:7" x14ac:dyDescent="0.55000000000000004">
      <c r="A44" s="22" t="s">
        <v>63</v>
      </c>
      <c r="B44" s="22"/>
      <c r="C44" s="40">
        <f>C42+C43</f>
        <v>31.705000000000002</v>
      </c>
      <c r="D44" s="22" t="s">
        <v>11</v>
      </c>
      <c r="E44" s="22"/>
      <c r="G44" t="s">
        <v>69</v>
      </c>
    </row>
    <row r="45" spans="1:7" x14ac:dyDescent="0.55000000000000004">
      <c r="A45" s="22" t="s">
        <v>66</v>
      </c>
      <c r="B45" s="22"/>
      <c r="C45" s="28">
        <f>C42/C44</f>
        <v>0.86863270777479895</v>
      </c>
      <c r="D45" s="22"/>
      <c r="E45" s="22"/>
      <c r="F45" s="16">
        <v>0.86860000000000004</v>
      </c>
      <c r="G45" s="16" t="s">
        <v>70</v>
      </c>
    </row>
    <row r="46" spans="1:7" x14ac:dyDescent="0.55000000000000004">
      <c r="F46" t="s">
        <v>71</v>
      </c>
      <c r="G46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FC73-6B25-49BF-9FE9-87EC2B4AAF20}">
  <dimension ref="A1:L48"/>
  <sheetViews>
    <sheetView tabSelected="1" topLeftCell="B8" zoomScale="80" zoomScaleNormal="80" workbookViewId="0">
      <selection activeCell="K42" sqref="K42"/>
    </sheetView>
  </sheetViews>
  <sheetFormatPr defaultRowHeight="14.4" x14ac:dyDescent="0.55000000000000004"/>
  <cols>
    <col min="1" max="1" width="68.578125" bestFit="1" customWidth="1"/>
    <col min="2" max="2" width="16.5234375" bestFit="1" customWidth="1"/>
    <col min="3" max="3" width="12.41796875" bestFit="1" customWidth="1"/>
    <col min="7" max="7" width="42.15625" customWidth="1"/>
    <col min="8" max="8" width="17.83984375" bestFit="1" customWidth="1"/>
    <col min="9" max="9" width="47.41796875" bestFit="1" customWidth="1"/>
    <col min="10" max="10" width="22.3125" bestFit="1" customWidth="1"/>
    <col min="11" max="11" width="27.15625" bestFit="1" customWidth="1"/>
    <col min="12" max="12" width="34.9453125" bestFit="1" customWidth="1"/>
  </cols>
  <sheetData>
    <row r="1" spans="1:12" x14ac:dyDescent="0.55000000000000004">
      <c r="A1" s="1" t="s">
        <v>82</v>
      </c>
      <c r="G1" s="1" t="s">
        <v>73</v>
      </c>
      <c r="I1" s="2"/>
      <c r="J1" t="s">
        <v>110</v>
      </c>
      <c r="L1" t="s">
        <v>128</v>
      </c>
    </row>
    <row r="2" spans="1:12" x14ac:dyDescent="0.55000000000000004">
      <c r="A2" t="s">
        <v>83</v>
      </c>
      <c r="G2" s="18" t="s">
        <v>76</v>
      </c>
      <c r="J2" t="s">
        <v>111</v>
      </c>
      <c r="K2" t="s">
        <v>119</v>
      </c>
      <c r="L2" t="s">
        <v>129</v>
      </c>
    </row>
    <row r="3" spans="1:12" x14ac:dyDescent="0.55000000000000004">
      <c r="G3" t="s">
        <v>74</v>
      </c>
      <c r="H3" t="s">
        <v>75</v>
      </c>
      <c r="J3" t="s">
        <v>112</v>
      </c>
      <c r="K3" t="s">
        <v>120</v>
      </c>
    </row>
    <row r="4" spans="1:12" x14ac:dyDescent="0.5500000000000000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G4" s="17">
        <v>0</v>
      </c>
      <c r="H4" s="16">
        <v>0.88524590163934425</v>
      </c>
      <c r="J4" t="s">
        <v>113</v>
      </c>
      <c r="K4" t="s">
        <v>121</v>
      </c>
    </row>
    <row r="5" spans="1:12" x14ac:dyDescent="0.55000000000000004">
      <c r="A5" s="5" t="s">
        <v>84</v>
      </c>
      <c r="B5" s="5"/>
      <c r="C5" s="43">
        <v>100</v>
      </c>
      <c r="D5" s="5" t="s">
        <v>11</v>
      </c>
      <c r="E5" s="5"/>
      <c r="G5" s="17">
        <v>0.1</v>
      </c>
      <c r="H5" s="20">
        <v>0.87580645161290327</v>
      </c>
      <c r="J5" t="s">
        <v>114</v>
      </c>
      <c r="K5" t="s">
        <v>122</v>
      </c>
    </row>
    <row r="6" spans="1:12" x14ac:dyDescent="0.55000000000000004">
      <c r="A6" s="5" t="s">
        <v>85</v>
      </c>
      <c r="B6" s="5"/>
      <c r="C6" s="43">
        <v>30</v>
      </c>
      <c r="D6" s="5" t="s">
        <v>11</v>
      </c>
      <c r="E6" s="5"/>
      <c r="G6" s="17">
        <v>0.2</v>
      </c>
      <c r="H6" s="20">
        <f>86.44%</f>
        <v>0.86439999999999995</v>
      </c>
      <c r="J6" t="s">
        <v>115</v>
      </c>
      <c r="K6" t="s">
        <v>123</v>
      </c>
    </row>
    <row r="7" spans="1:12" x14ac:dyDescent="0.55000000000000004">
      <c r="A7" s="5" t="s">
        <v>86</v>
      </c>
      <c r="B7" s="5"/>
      <c r="C7" s="43">
        <v>70</v>
      </c>
      <c r="D7" s="5" t="s">
        <v>11</v>
      </c>
      <c r="E7" s="5"/>
      <c r="G7" s="17">
        <v>0.3</v>
      </c>
      <c r="H7" s="20">
        <v>0.85044052898231737</v>
      </c>
      <c r="J7" t="s">
        <v>109</v>
      </c>
      <c r="K7" t="s">
        <v>124</v>
      </c>
    </row>
    <row r="8" spans="1:12" x14ac:dyDescent="0.55000000000000004">
      <c r="A8" s="5" t="s">
        <v>108</v>
      </c>
      <c r="B8" s="5"/>
      <c r="C8" s="25">
        <v>0.9</v>
      </c>
      <c r="D8" s="5"/>
      <c r="E8" s="5"/>
      <c r="G8" s="17">
        <v>0.4</v>
      </c>
      <c r="H8" s="20">
        <v>0.8328358214004451</v>
      </c>
      <c r="J8" t="s">
        <v>116</v>
      </c>
      <c r="K8" t="s">
        <v>125</v>
      </c>
    </row>
    <row r="9" spans="1:12" x14ac:dyDescent="0.55000000000000004">
      <c r="A9" s="5" t="s">
        <v>109</v>
      </c>
      <c r="B9" s="5"/>
      <c r="C9" s="25">
        <v>0.05</v>
      </c>
      <c r="D9" s="5"/>
      <c r="E9" s="5"/>
      <c r="G9" s="17">
        <v>0.5</v>
      </c>
      <c r="H9" s="20">
        <v>0.81000000086401946</v>
      </c>
      <c r="J9" t="s">
        <v>117</v>
      </c>
      <c r="K9" t="s">
        <v>126</v>
      </c>
    </row>
    <row r="10" spans="1:12" x14ac:dyDescent="0.55000000000000004">
      <c r="A10" s="5" t="s">
        <v>47</v>
      </c>
      <c r="B10" s="5"/>
      <c r="C10" s="25">
        <v>0.2</v>
      </c>
      <c r="D10" s="5"/>
      <c r="E10" s="5"/>
      <c r="J10" t="s">
        <v>118</v>
      </c>
      <c r="K10" t="s">
        <v>127</v>
      </c>
    </row>
    <row r="11" spans="1:12" x14ac:dyDescent="0.55000000000000004">
      <c r="C11" s="35"/>
      <c r="G11" s="19" t="s">
        <v>77</v>
      </c>
    </row>
    <row r="12" spans="1:12" x14ac:dyDescent="0.55000000000000004">
      <c r="A12" s="8" t="s">
        <v>87</v>
      </c>
      <c r="B12" s="8" t="s">
        <v>4</v>
      </c>
      <c r="C12" s="36" t="s">
        <v>5</v>
      </c>
      <c r="D12" s="8" t="s">
        <v>6</v>
      </c>
      <c r="E12" s="8" t="s">
        <v>7</v>
      </c>
      <c r="G12" s="18" t="s">
        <v>79</v>
      </c>
    </row>
    <row r="13" spans="1:12" x14ac:dyDescent="0.55000000000000004">
      <c r="A13" s="9" t="s">
        <v>52</v>
      </c>
      <c r="B13" s="9"/>
      <c r="C13" s="31">
        <f ca="1">C39</f>
        <v>0.6122448979591838</v>
      </c>
      <c r="D13" s="9" t="s">
        <v>11</v>
      </c>
      <c r="E13" s="9"/>
      <c r="G13" t="s">
        <v>78</v>
      </c>
      <c r="H13" t="s">
        <v>75</v>
      </c>
    </row>
    <row r="14" spans="1:12" x14ac:dyDescent="0.55000000000000004">
      <c r="A14" s="9" t="s">
        <v>89</v>
      </c>
      <c r="B14" s="9"/>
      <c r="C14" s="31">
        <f ca="1">C40</f>
        <v>16.419753086419757</v>
      </c>
      <c r="D14" s="9" t="s">
        <v>11</v>
      </c>
      <c r="E14" s="9"/>
      <c r="G14" s="17">
        <v>0.7</v>
      </c>
      <c r="H14" s="20">
        <v>0.83793103422414572</v>
      </c>
    </row>
    <row r="15" spans="1:12" x14ac:dyDescent="0.55000000000000004">
      <c r="C15" s="35"/>
      <c r="G15" s="17">
        <v>0.75</v>
      </c>
      <c r="H15" s="20">
        <v>0.84570765663421887</v>
      </c>
    </row>
    <row r="16" spans="1:12" x14ac:dyDescent="0.55000000000000004">
      <c r="A16" s="6" t="s">
        <v>90</v>
      </c>
      <c r="B16" s="6" t="s">
        <v>4</v>
      </c>
      <c r="C16" s="37" t="s">
        <v>5</v>
      </c>
      <c r="D16" s="6" t="s">
        <v>6</v>
      </c>
      <c r="E16" s="6" t="s">
        <v>7</v>
      </c>
      <c r="G16" s="17">
        <v>0.8</v>
      </c>
      <c r="H16" s="20">
        <v>0.85263157908280696</v>
      </c>
    </row>
    <row r="17" spans="1:8" x14ac:dyDescent="0.55000000000000004">
      <c r="A17" s="7" t="s">
        <v>85</v>
      </c>
      <c r="B17" s="7"/>
      <c r="C17" s="44">
        <f>C6</f>
        <v>30</v>
      </c>
      <c r="D17" s="7" t="s">
        <v>11</v>
      </c>
      <c r="E17" s="7"/>
      <c r="G17" s="17">
        <v>0.85</v>
      </c>
      <c r="H17" s="20">
        <v>0.85883575886644692</v>
      </c>
    </row>
    <row r="18" spans="1:8" x14ac:dyDescent="0.55000000000000004">
      <c r="A18" s="7" t="s">
        <v>52</v>
      </c>
      <c r="B18" s="7"/>
      <c r="C18" s="32">
        <f ca="1">C13</f>
        <v>0.6122448979591838</v>
      </c>
      <c r="D18" s="7" t="s">
        <v>11</v>
      </c>
      <c r="E18" s="7"/>
      <c r="G18" s="17">
        <v>0.9</v>
      </c>
      <c r="H18" s="20">
        <v>0.86439999999999995</v>
      </c>
    </row>
    <row r="19" spans="1:8" x14ac:dyDescent="0.55000000000000004">
      <c r="A19" s="7" t="s">
        <v>91</v>
      </c>
      <c r="B19" s="7"/>
      <c r="C19" s="32">
        <f ca="1">C17+C18</f>
        <v>30.612244897959183</v>
      </c>
      <c r="D19" s="7" t="s">
        <v>11</v>
      </c>
      <c r="E19" s="7"/>
      <c r="G19" s="17">
        <v>0.95</v>
      </c>
      <c r="H19" s="20">
        <v>0.86949152544712582</v>
      </c>
    </row>
    <row r="20" spans="1:8" x14ac:dyDescent="0.55000000000000004">
      <c r="A20" s="7" t="s">
        <v>86</v>
      </c>
      <c r="B20" s="7"/>
      <c r="C20" s="44">
        <f>C7</f>
        <v>70</v>
      </c>
      <c r="D20" s="7" t="s">
        <v>11</v>
      </c>
      <c r="E20" s="7"/>
    </row>
    <row r="21" spans="1:8" x14ac:dyDescent="0.55000000000000004">
      <c r="A21" s="7" t="s">
        <v>88</v>
      </c>
      <c r="B21" s="7"/>
      <c r="C21" s="32">
        <f ca="1">C14</f>
        <v>16.419753086419757</v>
      </c>
      <c r="D21" s="7" t="s">
        <v>11</v>
      </c>
      <c r="E21" s="7"/>
    </row>
    <row r="22" spans="1:8" x14ac:dyDescent="0.55000000000000004">
      <c r="A22" s="7" t="s">
        <v>92</v>
      </c>
      <c r="B22" s="7"/>
      <c r="C22" s="32">
        <f ca="1">C20+C21</f>
        <v>86.41975308641976</v>
      </c>
      <c r="D22" s="7" t="s">
        <v>11</v>
      </c>
      <c r="E22" s="7"/>
    </row>
    <row r="23" spans="1:8" x14ac:dyDescent="0.55000000000000004">
      <c r="A23" s="7" t="s">
        <v>93</v>
      </c>
      <c r="B23" s="7"/>
      <c r="C23" s="32">
        <f ca="1">C19+C22</f>
        <v>117.03199798437895</v>
      </c>
      <c r="D23" s="7" t="s">
        <v>11</v>
      </c>
      <c r="E23" s="7"/>
    </row>
    <row r="24" spans="1:8" x14ac:dyDescent="0.55000000000000004">
      <c r="C24" s="35"/>
    </row>
    <row r="25" spans="1:8" x14ac:dyDescent="0.55000000000000004">
      <c r="A25" s="23" t="s">
        <v>94</v>
      </c>
      <c r="B25" s="23" t="s">
        <v>4</v>
      </c>
      <c r="C25" s="38" t="s">
        <v>5</v>
      </c>
      <c r="D25" s="23" t="s">
        <v>6</v>
      </c>
      <c r="E25" s="23" t="s">
        <v>7</v>
      </c>
    </row>
    <row r="26" spans="1:8" x14ac:dyDescent="0.55000000000000004">
      <c r="A26" s="24" t="s">
        <v>23</v>
      </c>
      <c r="B26" s="24"/>
      <c r="C26" s="33">
        <f ca="1">C8*C19</f>
        <v>27.551020408163264</v>
      </c>
      <c r="D26" s="24" t="s">
        <v>11</v>
      </c>
      <c r="E26" s="24"/>
    </row>
    <row r="27" spans="1:8" x14ac:dyDescent="0.55000000000000004">
      <c r="A27" s="24" t="s">
        <v>24</v>
      </c>
      <c r="B27" s="24"/>
      <c r="C27" s="33">
        <f ca="1">C9*C22</f>
        <v>4.3209876543209882</v>
      </c>
      <c r="D27" s="24" t="s">
        <v>11</v>
      </c>
      <c r="E27" s="24"/>
    </row>
    <row r="28" spans="1:8" x14ac:dyDescent="0.55000000000000004">
      <c r="A28" s="24" t="s">
        <v>95</v>
      </c>
      <c r="B28" s="24"/>
      <c r="C28" s="33">
        <f ca="1">C26+C27</f>
        <v>31.872008062484252</v>
      </c>
      <c r="D28" s="24" t="s">
        <v>11</v>
      </c>
      <c r="E28" s="24"/>
    </row>
    <row r="29" spans="1:8" x14ac:dyDescent="0.55000000000000004">
      <c r="A29" s="24" t="s">
        <v>96</v>
      </c>
      <c r="B29" s="24"/>
      <c r="C29" s="29">
        <f ca="1">C26/C28</f>
        <v>0.86442687747035574</v>
      </c>
      <c r="D29" s="24" t="s">
        <v>12</v>
      </c>
      <c r="E29" s="24"/>
    </row>
    <row r="30" spans="1:8" x14ac:dyDescent="0.55000000000000004">
      <c r="C30" s="35"/>
    </row>
    <row r="31" spans="1:8" x14ac:dyDescent="0.55000000000000004">
      <c r="A31" s="21" t="s">
        <v>97</v>
      </c>
      <c r="B31" s="21" t="s">
        <v>4</v>
      </c>
      <c r="C31" s="39" t="s">
        <v>5</v>
      </c>
      <c r="D31" s="21" t="s">
        <v>6</v>
      </c>
      <c r="E31" s="21" t="s">
        <v>7</v>
      </c>
    </row>
    <row r="32" spans="1:8" x14ac:dyDescent="0.55000000000000004">
      <c r="A32" s="22" t="s">
        <v>98</v>
      </c>
      <c r="B32" s="22"/>
      <c r="C32" s="45">
        <f ca="1">C19-C26</f>
        <v>3.0612244897959187</v>
      </c>
      <c r="D32" s="22" t="s">
        <v>11</v>
      </c>
      <c r="E32" s="22"/>
    </row>
    <row r="33" spans="1:5" x14ac:dyDescent="0.55000000000000004">
      <c r="A33" s="22" t="s">
        <v>99</v>
      </c>
      <c r="B33" s="22"/>
      <c r="C33" s="45">
        <f ca="1">C22-C27</f>
        <v>82.098765432098773</v>
      </c>
      <c r="D33" s="22" t="s">
        <v>11</v>
      </c>
      <c r="E33" s="22"/>
    </row>
    <row r="34" spans="1:5" x14ac:dyDescent="0.55000000000000004">
      <c r="A34" s="22" t="s">
        <v>100</v>
      </c>
      <c r="B34" s="22"/>
      <c r="C34" s="45">
        <f ca="1">C32+C33</f>
        <v>85.159989921894692</v>
      </c>
      <c r="D34" s="22" t="s">
        <v>11</v>
      </c>
      <c r="E34" s="22"/>
    </row>
    <row r="35" spans="1:5" x14ac:dyDescent="0.55000000000000004">
      <c r="A35" s="22" t="s">
        <v>101</v>
      </c>
      <c r="B35" s="22"/>
      <c r="C35" s="28">
        <f ca="1">C32/C34</f>
        <v>3.5946745562130178E-2</v>
      </c>
      <c r="D35" s="22"/>
      <c r="E35" s="22"/>
    </row>
    <row r="36" spans="1:5" x14ac:dyDescent="0.55000000000000004">
      <c r="C36" s="35"/>
    </row>
    <row r="37" spans="1:5" x14ac:dyDescent="0.55000000000000004">
      <c r="A37" s="14" t="s">
        <v>42</v>
      </c>
      <c r="B37" s="14" t="s">
        <v>4</v>
      </c>
      <c r="C37" s="41" t="s">
        <v>5</v>
      </c>
      <c r="D37" s="14" t="s">
        <v>6</v>
      </c>
      <c r="E37" s="14" t="s">
        <v>7</v>
      </c>
    </row>
    <row r="38" spans="1:5" x14ac:dyDescent="0.55000000000000004">
      <c r="A38" s="15" t="s">
        <v>47</v>
      </c>
      <c r="B38" s="15"/>
      <c r="C38" s="30">
        <f>C10</f>
        <v>0.2</v>
      </c>
      <c r="D38" s="15"/>
      <c r="E38" s="15"/>
    </row>
    <row r="39" spans="1:5" x14ac:dyDescent="0.55000000000000004">
      <c r="A39" s="15" t="s">
        <v>52</v>
      </c>
      <c r="B39" s="15"/>
      <c r="C39" s="34">
        <f ca="1">C32*C38</f>
        <v>0.6122448979591838</v>
      </c>
      <c r="D39" s="15" t="s">
        <v>11</v>
      </c>
      <c r="E39" s="15"/>
    </row>
    <row r="40" spans="1:5" x14ac:dyDescent="0.55000000000000004">
      <c r="A40" s="15" t="s">
        <v>88</v>
      </c>
      <c r="B40" s="15"/>
      <c r="C40" s="34">
        <f ca="1">C33*C38</f>
        <v>16.419753086419757</v>
      </c>
      <c r="D40" s="15" t="s">
        <v>11</v>
      </c>
      <c r="E40" s="15"/>
    </row>
    <row r="41" spans="1:5" x14ac:dyDescent="0.55000000000000004">
      <c r="A41" s="15" t="s">
        <v>102</v>
      </c>
      <c r="B41" s="15"/>
      <c r="C41" s="34">
        <f ca="1">C39+C40</f>
        <v>17.03199798437894</v>
      </c>
      <c r="D41" s="15" t="s">
        <v>11</v>
      </c>
      <c r="E41" s="15"/>
    </row>
    <row r="42" spans="1:5" x14ac:dyDescent="0.55000000000000004">
      <c r="A42" s="15" t="s">
        <v>103</v>
      </c>
      <c r="B42" s="15"/>
      <c r="C42" s="34">
        <f ca="1">C32-C39</f>
        <v>2.4489795918367347</v>
      </c>
      <c r="D42" s="15" t="s">
        <v>11</v>
      </c>
      <c r="E42" s="15"/>
    </row>
    <row r="43" spans="1:5" x14ac:dyDescent="0.55000000000000004">
      <c r="A43" s="15" t="s">
        <v>104</v>
      </c>
      <c r="B43" s="15"/>
      <c r="C43" s="34">
        <f ca="1">C33-C40</f>
        <v>65.679012345679013</v>
      </c>
      <c r="D43" s="15" t="s">
        <v>11</v>
      </c>
      <c r="E43" s="15"/>
    </row>
    <row r="44" spans="1:5" x14ac:dyDescent="0.55000000000000004">
      <c r="A44" s="15" t="s">
        <v>105</v>
      </c>
      <c r="B44" s="15"/>
      <c r="C44" s="34">
        <f ca="1">C42+C43</f>
        <v>68.127991937515745</v>
      </c>
      <c r="D44" s="15" t="s">
        <v>11</v>
      </c>
      <c r="E44" s="15"/>
    </row>
    <row r="46" spans="1:5" x14ac:dyDescent="0.55000000000000004">
      <c r="A46" s="10" t="s">
        <v>38</v>
      </c>
      <c r="B46" s="10" t="s">
        <v>5</v>
      </c>
      <c r="C46" s="10" t="s">
        <v>6</v>
      </c>
    </row>
    <row r="47" spans="1:5" x14ac:dyDescent="0.55000000000000004">
      <c r="A47" s="11" t="s">
        <v>106</v>
      </c>
      <c r="B47" s="11">
        <f ca="1">C23-C28-C34</f>
        <v>0</v>
      </c>
      <c r="C47" s="11" t="s">
        <v>11</v>
      </c>
    </row>
    <row r="48" spans="1:5" x14ac:dyDescent="0.55000000000000004">
      <c r="A48" s="11" t="s">
        <v>107</v>
      </c>
      <c r="B48" s="11">
        <f ca="1">C5-C28-C44</f>
        <v>0</v>
      </c>
      <c r="C48" s="1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Single-Pass Recycle Model</vt:lpstr>
      <vt:lpstr>Steady-State Recycle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Van</dc:creator>
  <cp:lastModifiedBy>ZEKE Van</cp:lastModifiedBy>
  <dcterms:created xsi:type="dcterms:W3CDTF">2026-08-25T23:58:16Z</dcterms:created>
  <dcterms:modified xsi:type="dcterms:W3CDTF">2026-09-03T03:21:20Z</dcterms:modified>
</cp:coreProperties>
</file>