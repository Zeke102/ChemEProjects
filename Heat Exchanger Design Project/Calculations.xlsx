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af6bdb6fd02cc28/Documents/GitHub/ChemEProjects/Heat Exchanger Design Project/"/>
    </mc:Choice>
  </mc:AlternateContent>
  <xr:revisionPtr revIDLastSave="345" documentId="11_F25DC773A252ABDACC1048A5A91B5F505ADE58EB" xr6:coauthVersionLast="47" xr6:coauthVersionMax="47" xr10:uidLastSave="{1C44EDA5-C63D-4782-921C-6B1531ED749B}"/>
  <bookViews>
    <workbookView xWindow="-120" yWindow="-120" windowWidth="29040" windowHeight="15720" xr2:uid="{00000000-000D-0000-FFFF-FFFF00000000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H21" i="1"/>
  <c r="H17" i="1"/>
  <c r="H14" i="1"/>
  <c r="G14" i="1"/>
  <c r="F18" i="1"/>
  <c r="D14" i="1"/>
</calcChain>
</file>

<file path=xl/sharedStrings.xml><?xml version="1.0" encoding="utf-8"?>
<sst xmlns="http://schemas.openxmlformats.org/spreadsheetml/2006/main" count="82" uniqueCount="57">
  <si>
    <t>Variable</t>
  </si>
  <si>
    <t>Example</t>
  </si>
  <si>
    <t>kg/s</t>
  </si>
  <si>
    <t>°C</t>
  </si>
  <si>
    <r>
      <t>Q= m*c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>*ΔT</t>
    </r>
  </si>
  <si>
    <t>Cooling Water Flow</t>
  </si>
  <si>
    <t>Heat Duty</t>
  </si>
  <si>
    <t>LMTD</t>
  </si>
  <si>
    <r>
      <t>(ΔT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-ΔT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/ ln(ΔT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/ΔT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</si>
  <si>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r>
      <t>ΔT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T</t>
    </r>
    <r>
      <rPr>
        <vertAlign val="subscript"/>
        <sz val="11"/>
        <color theme="1"/>
        <rFont val="Calibri"/>
        <family val="2"/>
        <scheme val="minor"/>
      </rPr>
      <t xml:space="preserve">h,in </t>
    </r>
    <r>
      <rPr>
        <sz val="11"/>
        <color theme="1"/>
        <rFont val="Calibri"/>
        <family val="2"/>
        <scheme val="minor"/>
      </rPr>
      <t>-T</t>
    </r>
    <r>
      <rPr>
        <vertAlign val="subscript"/>
        <sz val="11"/>
        <color theme="1"/>
        <rFont val="Calibri"/>
        <family val="2"/>
        <scheme val="minor"/>
      </rPr>
      <t>c,out</t>
    </r>
  </si>
  <si>
    <r>
      <t>ΔT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T</t>
    </r>
    <r>
      <rPr>
        <vertAlign val="subscript"/>
        <sz val="11"/>
        <color theme="1"/>
        <rFont val="Calibri"/>
        <family val="2"/>
        <scheme val="minor"/>
      </rPr>
      <t>h,out</t>
    </r>
    <r>
      <rPr>
        <sz val="11"/>
        <color theme="1"/>
        <rFont val="Calibri"/>
        <family val="2"/>
        <scheme val="minor"/>
      </rPr>
      <t xml:space="preserve"> -T</t>
    </r>
    <r>
      <rPr>
        <vertAlign val="subscript"/>
        <sz val="11"/>
        <color theme="1"/>
        <rFont val="Calibri"/>
        <family val="2"/>
        <scheme val="minor"/>
      </rPr>
      <t>c,in</t>
    </r>
  </si>
  <si>
    <t>Area</t>
  </si>
  <si>
    <r>
      <t>U=500W/M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K</t>
    </r>
  </si>
  <si>
    <r>
      <t>A=Q/UΔT</t>
    </r>
    <r>
      <rPr>
        <vertAlign val="subscript"/>
        <sz val="11"/>
        <color theme="1"/>
        <rFont val="Calibri"/>
        <family val="2"/>
        <scheme val="minor"/>
      </rPr>
      <t>lm</t>
    </r>
  </si>
  <si>
    <t>Formula's used:</t>
  </si>
  <si>
    <t>Size of Tubes</t>
  </si>
  <si>
    <r>
      <t># of Tubes: N = A/A</t>
    </r>
    <r>
      <rPr>
        <vertAlign val="subscript"/>
        <sz val="11"/>
        <color theme="1"/>
        <rFont val="Calibri"/>
        <family val="2"/>
        <scheme val="minor"/>
      </rPr>
      <t>tube</t>
    </r>
  </si>
  <si>
    <t>Length: 5 m</t>
  </si>
  <si>
    <r>
      <t>Tube area: A</t>
    </r>
    <r>
      <rPr>
        <vertAlign val="subscript"/>
        <sz val="11"/>
        <color theme="1"/>
        <rFont val="Calibri"/>
        <family val="2"/>
        <scheme val="minor"/>
      </rPr>
      <t>tube</t>
    </r>
    <r>
      <rPr>
        <sz val="11"/>
        <color theme="1"/>
        <rFont val="Calibri"/>
        <family val="2"/>
        <scheme val="minor"/>
      </rPr>
      <t>=πDL</t>
    </r>
  </si>
  <si>
    <t>Problem:</t>
  </si>
  <si>
    <t>J/kg*K</t>
  </si>
  <si>
    <t>Specific heat of wate, C</t>
  </si>
  <si>
    <r>
      <t>Hot water inlet temp, Th</t>
    </r>
    <r>
      <rPr>
        <vertAlign val="subscript"/>
        <sz val="11"/>
        <color theme="1"/>
        <rFont val="Calibri"/>
        <family val="2"/>
        <scheme val="minor"/>
      </rPr>
      <t>i</t>
    </r>
  </si>
  <si>
    <r>
      <t>Hot water outlet temp, Th</t>
    </r>
    <r>
      <rPr>
        <vertAlign val="subscript"/>
        <sz val="11"/>
        <color theme="1"/>
        <rFont val="Calibri"/>
        <family val="2"/>
        <scheme val="minor"/>
      </rPr>
      <t>o</t>
    </r>
  </si>
  <si>
    <r>
      <t>Hot water mass flow, m</t>
    </r>
    <r>
      <rPr>
        <vertAlign val="subscript"/>
        <sz val="11"/>
        <color theme="1"/>
        <rFont val="Calibri"/>
        <family val="2"/>
        <scheme val="minor"/>
      </rPr>
      <t>H</t>
    </r>
  </si>
  <si>
    <r>
      <t>Cold coolant inlet temp, Tc</t>
    </r>
    <r>
      <rPr>
        <vertAlign val="subscript"/>
        <sz val="11"/>
        <color theme="1"/>
        <rFont val="Calibri"/>
        <family val="2"/>
        <scheme val="minor"/>
      </rPr>
      <t>i</t>
    </r>
  </si>
  <si>
    <r>
      <t>Cole coolant mass flow, m</t>
    </r>
    <r>
      <rPr>
        <vertAlign val="subscript"/>
        <sz val="11"/>
        <color theme="1"/>
        <rFont val="Calibri"/>
        <family val="2"/>
        <scheme val="minor"/>
      </rPr>
      <t>c</t>
    </r>
  </si>
  <si>
    <t>Q = (0.2)(4180)(90-60) W</t>
  </si>
  <si>
    <t>Heat removed from hot water</t>
  </si>
  <si>
    <t>Coolant outlet temp</t>
  </si>
  <si>
    <t>Q = 25.08 kW</t>
  </si>
  <si>
    <r>
      <t>Q=(0.3)(4180)(T</t>
    </r>
    <r>
      <rPr>
        <vertAlign val="subscript"/>
        <sz val="11"/>
        <color theme="1"/>
        <rFont val="Calibri"/>
        <family val="2"/>
        <scheme val="minor"/>
      </rPr>
      <t>c,out</t>
    </r>
    <r>
      <rPr>
        <sz val="11"/>
        <color theme="1"/>
        <rFont val="Calibri"/>
        <family val="2"/>
        <scheme val="minor"/>
      </rPr>
      <t>-25)</t>
    </r>
  </si>
  <si>
    <r>
      <t>T</t>
    </r>
    <r>
      <rPr>
        <vertAlign val="subscript"/>
        <sz val="11"/>
        <color theme="1"/>
        <rFont val="Calibri"/>
        <family val="2"/>
        <scheme val="minor"/>
      </rPr>
      <t>c,out</t>
    </r>
    <r>
      <rPr>
        <sz val="11"/>
        <color theme="1"/>
        <rFont val="Calibri"/>
        <family val="2"/>
        <scheme val="minor"/>
      </rPr>
      <t xml:space="preserve"> = 45°C</t>
    </r>
  </si>
  <si>
    <r>
      <t>25080 = 1254(T</t>
    </r>
    <r>
      <rPr>
        <vertAlign val="subscript"/>
        <sz val="11"/>
        <color theme="1"/>
        <rFont val="Calibri"/>
        <family val="2"/>
        <scheme val="minor"/>
      </rPr>
      <t>c,out</t>
    </r>
    <r>
      <rPr>
        <sz val="11"/>
        <color theme="1"/>
        <rFont val="Calibri"/>
        <family val="2"/>
        <scheme val="minor"/>
      </rPr>
      <t>-25)</t>
    </r>
  </si>
  <si>
    <r>
      <t>20 = T</t>
    </r>
    <r>
      <rPr>
        <vertAlign val="subscript"/>
        <sz val="11"/>
        <color theme="1"/>
        <rFont val="Calibri"/>
        <family val="2"/>
        <scheme val="minor"/>
      </rPr>
      <t xml:space="preserve">c,out </t>
    </r>
    <r>
      <rPr>
        <sz val="11"/>
        <color theme="1"/>
        <rFont val="Calibri"/>
        <family val="2"/>
        <scheme val="minor"/>
      </rPr>
      <t>- 25</t>
    </r>
  </si>
  <si>
    <t xml:space="preserve">Cool water from 90 °C to 60°C. Mass flow rate 0.2kg/s. coolants Temperature 25°C at mass flow rate 0.3kg/s. Flow arrangement countercurrent. </t>
  </si>
  <si>
    <t>Diameter: 2 cm</t>
  </si>
  <si>
    <t>(estimate range of 300-1000)</t>
  </si>
  <si>
    <t>F: 1</t>
  </si>
  <si>
    <r>
      <t>Q=UAFΔT</t>
    </r>
    <r>
      <rPr>
        <vertAlign val="subscript"/>
        <sz val="11"/>
        <color theme="1"/>
        <rFont val="Calibri"/>
        <family val="2"/>
        <scheme val="minor"/>
      </rPr>
      <t>lm</t>
    </r>
  </si>
  <si>
    <t>(assume ideal correction factor)</t>
  </si>
  <si>
    <t>ΔT1 = 45°C</t>
  </si>
  <si>
    <t>ΔT2 = 35°C</t>
  </si>
  <si>
    <r>
      <t>LMTD = (ΔT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-ΔT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/ ln(ΔT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/ΔT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</t>
    </r>
  </si>
  <si>
    <t>LMTD = 39.79</t>
  </si>
  <si>
    <r>
      <t>A</t>
    </r>
    <r>
      <rPr>
        <vertAlign val="subscript"/>
        <sz val="11"/>
        <color theme="1"/>
        <rFont val="Calibri"/>
        <family val="2"/>
        <scheme val="minor"/>
      </rPr>
      <t>minimum</t>
    </r>
    <r>
      <rPr>
        <sz val="11"/>
        <color theme="1"/>
        <rFont val="Calibri"/>
        <family val="2"/>
        <scheme val="minor"/>
      </rPr>
      <t xml:space="preserve"> = 1.26 m</t>
    </r>
    <r>
      <rPr>
        <vertAlign val="superscript"/>
        <sz val="11"/>
        <color theme="1"/>
        <rFont val="Calibri"/>
        <family val="2"/>
        <scheme val="minor"/>
      </rPr>
      <t>2</t>
    </r>
  </si>
  <si>
    <r>
      <t>A</t>
    </r>
    <r>
      <rPr>
        <vertAlign val="subscript"/>
        <sz val="11"/>
        <color theme="1"/>
        <rFont val="Calibri"/>
        <family val="2"/>
        <scheme val="minor"/>
      </rPr>
      <t>design</t>
    </r>
    <r>
      <rPr>
        <sz val="11"/>
        <color theme="1"/>
        <rFont val="Calibri"/>
        <family val="2"/>
        <scheme val="minor"/>
      </rPr>
      <t xml:space="preserve"> = 1.45 m</t>
    </r>
    <r>
      <rPr>
        <vertAlign val="superscript"/>
        <sz val="11"/>
        <color theme="1"/>
        <rFont val="Calibri"/>
        <family val="2"/>
        <scheme val="minor"/>
      </rPr>
      <t>2</t>
    </r>
  </si>
  <si>
    <r>
      <t>A</t>
    </r>
    <r>
      <rPr>
        <vertAlign val="subscript"/>
        <sz val="11"/>
        <color theme="1"/>
        <rFont val="Calibri"/>
        <family val="2"/>
        <scheme val="minor"/>
      </rPr>
      <t>design</t>
    </r>
    <r>
      <rPr>
        <sz val="11"/>
        <color theme="1"/>
        <rFont val="Calibri"/>
        <family val="2"/>
        <scheme val="minor"/>
      </rPr>
      <t>​ = A</t>
    </r>
    <r>
      <rPr>
        <vertAlign val="subscript"/>
        <sz val="11"/>
        <color theme="1"/>
        <rFont val="Calibri"/>
        <family val="2"/>
        <scheme val="minor"/>
      </rPr>
      <t>minimum</t>
    </r>
    <r>
      <rPr>
        <sz val="11"/>
        <color theme="1"/>
        <rFont val="Calibri"/>
        <family val="2"/>
        <scheme val="minor"/>
      </rPr>
      <t>​(1+0.15)</t>
    </r>
  </si>
  <si>
    <r>
      <t>A</t>
    </r>
    <r>
      <rPr>
        <vertAlign val="subscript"/>
        <sz val="11"/>
        <color theme="1"/>
        <rFont val="Calibri"/>
        <family val="2"/>
        <scheme val="minor"/>
      </rPr>
      <t>design</t>
    </r>
    <r>
      <rPr>
        <sz val="11"/>
        <color theme="1"/>
        <rFont val="Calibri"/>
        <family val="2"/>
        <scheme val="minor"/>
      </rPr>
      <t>​ = (1.26)(1.15)=1.45 m</t>
    </r>
    <r>
      <rPr>
        <vertAlign val="superscript"/>
        <sz val="11"/>
        <color theme="1"/>
        <rFont val="Calibri"/>
        <family val="2"/>
        <scheme val="minor"/>
      </rPr>
      <t>2</t>
    </r>
  </si>
  <si>
    <r>
      <t>A</t>
    </r>
    <r>
      <rPr>
        <vertAlign val="subscript"/>
        <sz val="11"/>
        <color theme="1"/>
        <rFont val="Calibri"/>
        <family val="2"/>
        <scheme val="minor"/>
      </rPr>
      <t>tube</t>
    </r>
    <r>
      <rPr>
        <sz val="11"/>
        <color theme="1"/>
        <rFont val="Calibri"/>
        <family val="2"/>
        <scheme val="minor"/>
      </rPr>
      <t>​ = πD</t>
    </r>
    <r>
      <rPr>
        <vertAlign val="subscript"/>
        <sz val="11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>​L</t>
    </r>
  </si>
  <si>
    <r>
      <t>A</t>
    </r>
    <r>
      <rPr>
        <vertAlign val="subscript"/>
        <sz val="11"/>
        <color theme="1"/>
        <rFont val="Calibri"/>
        <family val="2"/>
        <scheme val="minor"/>
      </rPr>
      <t xml:space="preserve">tube​ </t>
    </r>
    <r>
      <rPr>
        <sz val="11"/>
        <color theme="1"/>
        <rFont val="Calibri"/>
        <family val="2"/>
        <scheme val="minor"/>
      </rPr>
      <t>= 0.314</t>
    </r>
  </si>
  <si>
    <t>N = 5 Tubes</t>
  </si>
  <si>
    <t>N = 6 Tubes</t>
  </si>
  <si>
    <t>For 2-tube-pass-exchanger:</t>
  </si>
  <si>
    <r>
      <t>A</t>
    </r>
    <r>
      <rPr>
        <vertAlign val="subscript"/>
        <sz val="11"/>
        <color theme="1"/>
        <rFont val="Calibri"/>
        <family val="2"/>
        <scheme val="minor"/>
      </rPr>
      <t>actual</t>
    </r>
    <r>
      <rPr>
        <sz val="11"/>
        <color theme="1"/>
        <rFont val="Calibri"/>
        <family val="2"/>
        <scheme val="minor"/>
      </rPr>
      <t xml:space="preserve"> = 1.88 m</t>
    </r>
    <r>
      <rPr>
        <vertAlign val="superscript"/>
        <sz val="11"/>
        <color theme="1"/>
        <rFont val="Calibri"/>
        <family val="2"/>
        <scheme val="minor"/>
      </rPr>
      <t>2</t>
    </r>
  </si>
  <si>
    <t>Actual Area margin = 49.5%</t>
  </si>
  <si>
    <t>t = 0.0015 m (tube wall thickness)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</si>
</sst>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Alignment="1"/>
    <xf numFmtId="0" fontId="0" fillId="2" borderId="0" xfId="0" applyFill="1" applyAlignment="1">
      <alignment horizontal="right"/>
    </xf>
    <xf numFmtId="0" fontId="3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/>
    <xf numFmtId="0" fontId="0" fillId="3" borderId="0" xfId="0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abSelected="1" zoomScale="96" zoomScaleNormal="96" workbookViewId="0">
      <selection activeCell="I12" sqref="I12"/>
    </sheetView>
  </sheetViews>
  <sheetFormatPr defaultRowHeight="15" x14ac:dyDescent="0.25"/>
  <cols>
    <col min="1" max="1" width="25.28515625" bestFit="1" customWidth="1"/>
    <col min="2" max="2" width="10.85546875" bestFit="1" customWidth="1"/>
    <col min="3" max="3" width="15" bestFit="1" customWidth="1"/>
    <col min="4" max="4" width="27.85546875" bestFit="1" customWidth="1"/>
    <col min="5" max="5" width="22.42578125" customWidth="1"/>
    <col min="6" max="6" width="27.5703125" bestFit="1" customWidth="1"/>
    <col min="7" max="7" width="25.85546875" bestFit="1" customWidth="1"/>
    <col min="8" max="8" width="25" bestFit="1" customWidth="1"/>
  </cols>
  <sheetData>
    <row r="1" spans="1:9" ht="18.75" x14ac:dyDescent="0.3">
      <c r="A1" s="3" t="s">
        <v>0</v>
      </c>
      <c r="B1" s="3" t="s">
        <v>1</v>
      </c>
      <c r="C1" s="2" t="s">
        <v>14</v>
      </c>
      <c r="D1" s="2" t="s">
        <v>6</v>
      </c>
      <c r="E1" s="2" t="s">
        <v>5</v>
      </c>
      <c r="F1" s="2" t="s">
        <v>7</v>
      </c>
      <c r="G1" s="2" t="s">
        <v>11</v>
      </c>
      <c r="H1" s="2" t="s">
        <v>15</v>
      </c>
    </row>
    <row r="2" spans="1:9" ht="18" x14ac:dyDescent="0.35">
      <c r="A2" s="2" t="s">
        <v>22</v>
      </c>
      <c r="B2" s="2" t="s">
        <v>3</v>
      </c>
      <c r="C2" s="2" t="s">
        <v>9</v>
      </c>
      <c r="D2" s="2" t="s">
        <v>4</v>
      </c>
      <c r="E2" s="2" t="s">
        <v>4</v>
      </c>
      <c r="F2" s="2" t="s">
        <v>8</v>
      </c>
      <c r="G2" s="2" t="s">
        <v>13</v>
      </c>
      <c r="H2" s="2" t="s">
        <v>36</v>
      </c>
      <c r="I2">
        <v>0.02</v>
      </c>
    </row>
    <row r="3" spans="1:9" ht="18" x14ac:dyDescent="0.35">
      <c r="A3" s="2" t="s">
        <v>23</v>
      </c>
      <c r="B3" s="2" t="s">
        <v>3</v>
      </c>
      <c r="C3" s="2" t="s">
        <v>10</v>
      </c>
      <c r="D3" s="2"/>
      <c r="E3" s="2"/>
      <c r="F3" s="2"/>
      <c r="G3" s="2"/>
      <c r="H3" s="2" t="s">
        <v>17</v>
      </c>
      <c r="I3">
        <v>5</v>
      </c>
    </row>
    <row r="4" spans="1:9" ht="18" x14ac:dyDescent="0.35">
      <c r="A4" s="2" t="s">
        <v>24</v>
      </c>
      <c r="B4" s="2" t="s">
        <v>2</v>
      </c>
      <c r="C4" s="2" t="s">
        <v>39</v>
      </c>
      <c r="D4" s="2"/>
      <c r="E4" s="2"/>
      <c r="F4" s="2"/>
      <c r="G4" s="2"/>
      <c r="H4" s="2" t="s">
        <v>18</v>
      </c>
    </row>
    <row r="5" spans="1:9" ht="18.75" x14ac:dyDescent="0.35">
      <c r="A5" s="2" t="s">
        <v>25</v>
      </c>
      <c r="B5" s="2" t="s">
        <v>3</v>
      </c>
      <c r="C5" s="2" t="s">
        <v>12</v>
      </c>
      <c r="D5" s="2" t="s">
        <v>37</v>
      </c>
      <c r="E5" s="2"/>
      <c r="F5" s="2"/>
      <c r="G5" s="2"/>
      <c r="H5" s="2" t="s">
        <v>16</v>
      </c>
    </row>
    <row r="6" spans="1:9" ht="18" x14ac:dyDescent="0.35">
      <c r="A6" s="2" t="s">
        <v>26</v>
      </c>
      <c r="B6" s="2" t="s">
        <v>2</v>
      </c>
      <c r="C6" s="2">
        <v>500</v>
      </c>
      <c r="D6" s="2"/>
      <c r="E6" s="2"/>
      <c r="F6" s="2"/>
      <c r="G6" s="2"/>
      <c r="H6" s="2"/>
    </row>
    <row r="7" spans="1:9" x14ac:dyDescent="0.25">
      <c r="A7" s="2" t="s">
        <v>21</v>
      </c>
      <c r="B7" s="2" t="s">
        <v>20</v>
      </c>
      <c r="C7" s="2"/>
      <c r="D7" s="2"/>
      <c r="E7" s="2"/>
      <c r="F7" s="2"/>
      <c r="G7" s="2"/>
      <c r="H7" s="2"/>
    </row>
    <row r="8" spans="1:9" ht="17.25" x14ac:dyDescent="0.25">
      <c r="A8" s="2"/>
      <c r="B8" s="2"/>
      <c r="C8" s="2"/>
      <c r="D8" s="2"/>
      <c r="E8" s="2" t="s">
        <v>12</v>
      </c>
      <c r="F8" s="2" t="s">
        <v>36</v>
      </c>
      <c r="G8" s="2" t="s">
        <v>17</v>
      </c>
      <c r="H8" s="4" t="s">
        <v>38</v>
      </c>
      <c r="I8" s="2" t="s">
        <v>40</v>
      </c>
    </row>
    <row r="9" spans="1:9" x14ac:dyDescent="0.25">
      <c r="A9" s="2"/>
      <c r="B9" s="2"/>
      <c r="C9" s="2"/>
      <c r="D9" s="2"/>
      <c r="E9" s="2"/>
      <c r="F9" s="2"/>
      <c r="G9" s="2"/>
      <c r="H9" s="2"/>
    </row>
    <row r="10" spans="1:9" x14ac:dyDescent="0.25">
      <c r="A10" s="2" t="s">
        <v>19</v>
      </c>
      <c r="B10" s="2" t="s">
        <v>35</v>
      </c>
      <c r="C10" s="2"/>
      <c r="D10" s="4"/>
      <c r="E10" s="4"/>
      <c r="F10" s="4"/>
      <c r="G10" s="4"/>
      <c r="H10" s="2"/>
    </row>
    <row r="11" spans="1:9" x14ac:dyDescent="0.25">
      <c r="A11" s="2"/>
      <c r="B11" s="4"/>
      <c r="C11" s="2"/>
      <c r="D11" s="5"/>
      <c r="E11" s="5"/>
      <c r="F11" s="4"/>
      <c r="G11" s="4"/>
      <c r="I11" t="s">
        <v>56</v>
      </c>
    </row>
    <row r="12" spans="1:9" x14ac:dyDescent="0.25">
      <c r="A12" s="2"/>
      <c r="B12" s="4"/>
      <c r="C12" s="2"/>
      <c r="D12" s="5" t="s">
        <v>28</v>
      </c>
      <c r="E12" s="5" t="s">
        <v>29</v>
      </c>
      <c r="F12" s="1" t="s">
        <v>7</v>
      </c>
      <c r="G12" s="4" t="s">
        <v>11</v>
      </c>
    </row>
    <row r="13" spans="1:9" ht="18" x14ac:dyDescent="0.35">
      <c r="A13" s="2" t="s">
        <v>22</v>
      </c>
      <c r="B13" s="4">
        <v>90</v>
      </c>
      <c r="C13" s="2" t="s">
        <v>3</v>
      </c>
      <c r="D13" s="5" t="s">
        <v>27</v>
      </c>
      <c r="E13" s="5" t="s">
        <v>31</v>
      </c>
      <c r="F13" s="2" t="s">
        <v>9</v>
      </c>
      <c r="G13" s="2" t="s">
        <v>13</v>
      </c>
      <c r="H13" t="s">
        <v>49</v>
      </c>
    </row>
    <row r="14" spans="1:9" ht="18" x14ac:dyDescent="0.35">
      <c r="A14" s="2" t="s">
        <v>23</v>
      </c>
      <c r="B14">
        <v>60</v>
      </c>
      <c r="C14" s="2" t="s">
        <v>3</v>
      </c>
      <c r="D14" s="8">
        <f>B15*B18*(B13-B14)</f>
        <v>25080</v>
      </c>
      <c r="E14" s="5" t="s">
        <v>33</v>
      </c>
      <c r="F14" s="7" t="s">
        <v>41</v>
      </c>
      <c r="G14" s="4">
        <f>(D14)/(C6*F18)</f>
        <v>1.2605931722570254</v>
      </c>
      <c r="H14">
        <f>PI()*I2*I3</f>
        <v>0.31415926535897931</v>
      </c>
    </row>
    <row r="15" spans="1:9" ht="18.75" x14ac:dyDescent="0.35">
      <c r="A15" s="2" t="s">
        <v>24</v>
      </c>
      <c r="B15">
        <v>0.2</v>
      </c>
      <c r="C15" s="2" t="s">
        <v>2</v>
      </c>
      <c r="D15" s="6" t="s">
        <v>30</v>
      </c>
      <c r="E15" s="5" t="s">
        <v>34</v>
      </c>
      <c r="F15" s="2" t="s">
        <v>10</v>
      </c>
      <c r="G15" s="6" t="s">
        <v>45</v>
      </c>
      <c r="H15" s="6" t="s">
        <v>50</v>
      </c>
    </row>
    <row r="16" spans="1:9" ht="18" x14ac:dyDescent="0.35">
      <c r="A16" s="2" t="s">
        <v>25</v>
      </c>
      <c r="B16">
        <v>25</v>
      </c>
      <c r="C16" s="2" t="s">
        <v>3</v>
      </c>
      <c r="D16" s="5"/>
      <c r="E16" s="6" t="s">
        <v>32</v>
      </c>
      <c r="F16" s="7" t="s">
        <v>42</v>
      </c>
      <c r="G16" t="s">
        <v>47</v>
      </c>
      <c r="H16" s="2" t="s">
        <v>16</v>
      </c>
    </row>
    <row r="17" spans="1:8" ht="18.75" x14ac:dyDescent="0.35">
      <c r="A17" s="2" t="s">
        <v>26</v>
      </c>
      <c r="B17">
        <v>0.3</v>
      </c>
      <c r="C17" s="2" t="s">
        <v>2</v>
      </c>
      <c r="F17" s="2" t="s">
        <v>43</v>
      </c>
      <c r="G17" t="s">
        <v>48</v>
      </c>
      <c r="H17">
        <f>G18/H14</f>
        <v>4.6154933496649644</v>
      </c>
    </row>
    <row r="18" spans="1:8" x14ac:dyDescent="0.25">
      <c r="A18" s="2" t="s">
        <v>21</v>
      </c>
      <c r="B18">
        <v>4180</v>
      </c>
      <c r="C18" s="2" t="s">
        <v>20</v>
      </c>
      <c r="F18" s="9">
        <f xml:space="preserve"> (10)/LN(45/35)</f>
        <v>39.790791433679729</v>
      </c>
      <c r="G18">
        <v>1.45</v>
      </c>
      <c r="H18" s="10" t="s">
        <v>51</v>
      </c>
    </row>
    <row r="19" spans="1:8" ht="18.75" x14ac:dyDescent="0.35">
      <c r="F19" s="6" t="s">
        <v>44</v>
      </c>
      <c r="G19" s="6" t="s">
        <v>46</v>
      </c>
      <c r="H19" t="s">
        <v>53</v>
      </c>
    </row>
    <row r="20" spans="1:8" x14ac:dyDescent="0.25">
      <c r="H20" s="6" t="s">
        <v>52</v>
      </c>
    </row>
    <row r="21" spans="1:8" x14ac:dyDescent="0.25">
      <c r="H21">
        <f>6*PI()*I2*I3</f>
        <v>1.8849555921538761</v>
      </c>
    </row>
    <row r="22" spans="1:8" ht="18.75" x14ac:dyDescent="0.35">
      <c r="H22" s="6" t="s">
        <v>54</v>
      </c>
    </row>
    <row r="23" spans="1:8" x14ac:dyDescent="0.25">
      <c r="H23">
        <f>((H21-G14)/G14)*100</f>
        <v>49.529256038961627</v>
      </c>
    </row>
    <row r="24" spans="1:8" x14ac:dyDescent="0.25">
      <c r="H24" s="6" t="s">
        <v>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ZEKE Van</dc:creator>
  <cp:lastModifiedBy>ZEKE Van</cp:lastModifiedBy>
  <dcterms:created xsi:type="dcterms:W3CDTF">2015-06-05T18:17:20Z</dcterms:created>
  <dcterms:modified xsi:type="dcterms:W3CDTF">2026-06-27T06:03:08Z</dcterms:modified>
</cp:coreProperties>
</file>